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ae\Downloads\"/>
    </mc:Choice>
  </mc:AlternateContent>
  <xr:revisionPtr revIDLastSave="0" documentId="8_{4A3891E2-A7DF-40B1-9199-1D7C0F244E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</calcChain>
</file>

<file path=xl/sharedStrings.xml><?xml version="1.0" encoding="utf-8"?>
<sst xmlns="http://schemas.openxmlformats.org/spreadsheetml/2006/main" count="34" uniqueCount="21">
  <si>
    <t>Número</t>
  </si>
  <si>
    <t>% de vezes que apareceu</t>
  </si>
  <si>
    <t>Ano</t>
  </si>
  <si>
    <t>Numero 1</t>
  </si>
  <si>
    <t>Numero 2</t>
  </si>
  <si>
    <t>Numero 3</t>
  </si>
  <si>
    <t>Numero 4</t>
  </si>
  <si>
    <t>Numero 5</t>
  </si>
  <si>
    <t>Numero 6</t>
  </si>
  <si>
    <t>Nº</t>
  </si>
  <si>
    <t>Vezes</t>
  </si>
  <si>
    <t>% total</t>
  </si>
  <si>
    <t>Nº2</t>
  </si>
  <si>
    <t>Vezes3</t>
  </si>
  <si>
    <t>% total4</t>
  </si>
  <si>
    <t>Nº5</t>
  </si>
  <si>
    <t>Vezes6</t>
  </si>
  <si>
    <t>% total7</t>
  </si>
  <si>
    <t>Nº8</t>
  </si>
  <si>
    <t>Vezes9</t>
  </si>
  <si>
    <t>% total10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</si>
</sst>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92631-DEB8-46AF-82E9-C54BB3A92BE3}" name="Tabela1" displayName="Tabela1" ref="J2:U17" totalsRowShown="0" headerRowDxfId="13" dataDxfId="12">
  <autoFilter ref="J2:U17" xr:uid="{C9A92631-DEB8-46AF-82E9-C54BB3A92BE3}"/>
  <tableColumns count="12">
    <tableColumn id="1" xr3:uid="{C7EA90A5-0965-415B-96CF-19203E77E273}" name="Nº" dataDxfId="11"/>
    <tableColumn id="2" xr3:uid="{C451ABE9-A25E-4A0B-B6CC-1DF62F3EBC70}" name="Vezes" dataDxfId="10">
      <calculatedColumnFormula>COUNTIF($C$3:$H$18,Tabela1[[#This Row],[Nº]])</calculatedColumnFormula>
    </tableColumn>
    <tableColumn id="3" xr3:uid="{FE10F0F6-00AE-4FB0-9706-65CF692AA029}" name="% total" dataDxfId="9" dataCellStyle="Porcentagem">
      <calculatedColumnFormula>VLOOKUP(Tabela1[[#This Row],[Nº]],Tabela3[#All],3,FALSE)</calculatedColumnFormula>
    </tableColumn>
    <tableColumn id="4" xr3:uid="{39DE87DA-FCA7-45AA-BC78-80BD5CA9CF3C}" name="Nº2" dataDxfId="8"/>
    <tableColumn id="5" xr3:uid="{A167ABFF-5758-4698-8EC2-F260797E13A7}" name="Vezes3" dataDxfId="7">
      <calculatedColumnFormula>COUNTIF($C$3:$H$18,Tabela1[[#This Row],[Nº2]])</calculatedColumnFormula>
    </tableColumn>
    <tableColumn id="6" xr3:uid="{87592E5E-D498-4995-8AB8-7707834F9FB6}" name="% total4" dataDxfId="6" dataCellStyle="Porcentagem">
      <calculatedColumnFormula>VLOOKUP(Tabela1[[#This Row],[Nº2]],Tabela3[#All],3,FALSE)</calculatedColumnFormula>
    </tableColumn>
    <tableColumn id="7" xr3:uid="{D924CD12-1E52-44FF-B165-D8825AB033BE}" name="Nº5" dataDxfId="5"/>
    <tableColumn id="8" xr3:uid="{3742087B-D805-4117-927D-A6AAD08F968F}" name="Vezes6" dataDxfId="4">
      <calculatedColumnFormula>COUNTIF($C$3:$H$18,Tabela1[[#This Row],[Nº5]])</calculatedColumnFormula>
    </tableColumn>
    <tableColumn id="9" xr3:uid="{B99E7AA9-1596-4B19-95AC-EB74EF2DA3B9}" name="% total7" dataDxfId="3" dataCellStyle="Porcentagem">
      <calculatedColumnFormula>VLOOKUP(Tabela1[[#This Row],[Nº5]],Tabela3[#All],3,FALSE)</calculatedColumnFormula>
    </tableColumn>
    <tableColumn id="10" xr3:uid="{5A7D3DF7-0599-4BD6-9A0C-DB1A57C9C9BB}" name="Nº8" dataDxfId="2"/>
    <tableColumn id="11" xr3:uid="{43546359-B747-4F15-BC70-1C4FAF257B0A}" name="Vezes9" dataDxfId="1">
      <calculatedColumnFormula>COUNTIF($C$3:$H$18,Tabela1[[#This Row],[Nº8]])</calculatedColumnFormula>
    </tableColumn>
    <tableColumn id="12" xr3:uid="{FE16AE51-EC25-4C15-A8E0-399D00BBCA57}" name="% total10" dataDxfId="0" dataCellStyle="Porcentagem">
      <calculatedColumnFormula>VLOOKUP(Tabela1[[#This Row],[Nº8]],Tabela3[#All],3,FALSE)</calculatedColumnFormula>
    </tableColumn>
  </tableColumns>
  <tableStyleInfo name="TableStyleLight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73BBEF-0FBE-4232-871D-65C5A92BE137}" name="Tabela2" displayName="Tabela2" ref="B2:H18" totalsRowShown="0" headerRowDxfId="27" dataDxfId="26">
  <autoFilter ref="B2:H18" xr:uid="{3F73BBEF-0FBE-4232-871D-65C5A92BE137}"/>
  <tableColumns count="7">
    <tableColumn id="1" xr3:uid="{591F6647-5E6D-4218-B3E4-A3EF509310A7}" name="Ano" dataDxfId="25"/>
    <tableColumn id="2" xr3:uid="{DA6DFABD-19F7-4BF0-9F78-EBEA8380FD75}" name="Numero 1" dataDxfId="24"/>
    <tableColumn id="3" xr3:uid="{C42D561A-72B9-465E-8A68-562744D3C50F}" name="Numero 2" dataDxfId="23"/>
    <tableColumn id="4" xr3:uid="{95995236-F7F3-47AC-AA84-E72A31DC6CD9}" name="Numero 3" dataDxfId="22"/>
    <tableColumn id="5" xr3:uid="{8DFDDE94-2789-4756-9619-F41CAB8674AB}" name="Numero 4" dataDxfId="21"/>
    <tableColumn id="6" xr3:uid="{D5BD83D3-07CC-4EF7-85E0-318259FC1C42}" name="Numero 5" dataDxfId="20"/>
    <tableColumn id="7" xr3:uid="{E4F7A88B-4E6E-459C-BF62-82BCDA3F62F5}" name="Numero 6" dataDxfId="19"/>
  </tableColumns>
  <tableStyleInfo name="TableStyleLight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649770-C08F-4570-9869-77A7CB7A57B9}" name="Tabela3" displayName="Tabela3" ref="W2:Y62" totalsRowShown="0" headerRowDxfId="18" dataDxfId="17">
  <autoFilter ref="W2:Y62" xr:uid="{71649770-C08F-4570-9869-77A7CB7A57B9}"/>
  <tableColumns count="3">
    <tableColumn id="1" xr3:uid="{BC7B1D99-1437-4988-A78E-0B3BC87A9742}" name="Número" dataDxfId="16"/>
    <tableColumn id="2" xr3:uid="{4DA63D35-9B0F-46DB-B857-ED860833D472}" name="Vezes" dataDxfId="15"/>
    <tableColumn id="3" xr3:uid="{C1E309C7-816D-427F-B3DF-32CB328D3EF8}" name="% de vezes que apareceu" dataDxfId="14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83"/>
  <sheetViews>
    <sheetView showGridLines="0" tabSelected="1" zoomScale="85" zoomScaleNormal="85" workbookViewId="0">
      <selection activeCell="C10" sqref="C10:H10"/>
    </sheetView>
  </sheetViews>
  <sheetFormatPr defaultRowHeight="15" x14ac:dyDescent="0.25"/>
  <cols>
    <col min="1" max="1" width="2" customWidth="1"/>
    <col min="2" max="2" width="8.85546875" style="1" customWidth="1"/>
    <col min="3" max="8" width="11.85546875" style="2" customWidth="1"/>
    <col min="10" max="11" width="9.140625" style="1"/>
    <col min="12" max="12" width="9.28515625" style="1" customWidth="1"/>
    <col min="13" max="13" width="9.140625" style="1"/>
    <col min="14" max="14" width="9.42578125" style="1" customWidth="1"/>
    <col min="15" max="15" width="10.28515625" style="1" customWidth="1"/>
    <col min="16" max="16" width="9.140625" style="1"/>
    <col min="17" max="17" width="9.42578125" style="1" customWidth="1"/>
    <col min="18" max="18" width="10.28515625" style="1" customWidth="1"/>
    <col min="19" max="19" width="9.140625" style="1"/>
    <col min="20" max="20" width="9.42578125" customWidth="1"/>
    <col min="21" max="21" width="11.28515625" customWidth="1"/>
    <col min="23" max="23" width="10.42578125" customWidth="1"/>
    <col min="25" max="25" width="25.28515625" customWidth="1"/>
  </cols>
  <sheetData>
    <row r="2" spans="2:25" x14ac:dyDescent="0.25"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W2" s="1" t="s">
        <v>0</v>
      </c>
      <c r="X2" s="1" t="s">
        <v>10</v>
      </c>
      <c r="Y2" s="1" t="s">
        <v>1</v>
      </c>
    </row>
    <row r="3" spans="2:25" x14ac:dyDescent="0.25">
      <c r="B3" s="1">
        <v>2009</v>
      </c>
      <c r="C3" s="3">
        <v>10</v>
      </c>
      <c r="D3" s="3">
        <v>27</v>
      </c>
      <c r="E3" s="3">
        <v>40</v>
      </c>
      <c r="F3" s="3">
        <v>46</v>
      </c>
      <c r="G3" s="3">
        <v>49</v>
      </c>
      <c r="H3" s="3">
        <v>58</v>
      </c>
      <c r="J3" s="3">
        <v>1</v>
      </c>
      <c r="K3" s="5">
        <f>COUNTIF($C$3:$H$18,Tabela1[[#This Row],[Nº]])</f>
        <v>2</v>
      </c>
      <c r="L3" s="6">
        <f>VLOOKUP(Tabela1[[#This Row],[Nº]],Tabela3[#All],3,FALSE)</f>
        <v>0.125</v>
      </c>
      <c r="M3" s="3">
        <v>16</v>
      </c>
      <c r="N3" s="5">
        <f>COUNTIF($C$3:$H$18,Tabela1[[#This Row],[Nº2]])</f>
        <v>1</v>
      </c>
      <c r="O3" s="6">
        <f>VLOOKUP(Tabela1[[#This Row],[Nº2]],Tabela3[#All],3,FALSE)</f>
        <v>6.2E-2</v>
      </c>
      <c r="P3" s="3">
        <v>31</v>
      </c>
      <c r="Q3" s="5">
        <f>COUNTIF($C$3:$H$18,Tabela1[[#This Row],[Nº5]])</f>
        <v>1</v>
      </c>
      <c r="R3" s="6">
        <f>VLOOKUP(Tabela1[[#This Row],[Nº5]],Tabela3[#All],3,FALSE)</f>
        <v>6.2E-2</v>
      </c>
      <c r="S3" s="3">
        <v>46</v>
      </c>
      <c r="T3" s="5">
        <f>COUNTIF($C$3:$H$18,Tabela1[[#This Row],[Nº8]])</f>
        <v>2</v>
      </c>
      <c r="U3" s="6">
        <f>VLOOKUP(Tabela1[[#This Row],[Nº8]],Tabela3[#All],3,FALSE)</f>
        <v>0.125</v>
      </c>
      <c r="W3" s="4">
        <v>1</v>
      </c>
      <c r="X3" s="1">
        <v>2</v>
      </c>
      <c r="Y3" s="1">
        <v>0.125</v>
      </c>
    </row>
    <row r="4" spans="2:25" x14ac:dyDescent="0.25">
      <c r="B4" s="1">
        <v>2010</v>
      </c>
      <c r="C4" s="3">
        <v>2</v>
      </c>
      <c r="D4" s="3">
        <v>10</v>
      </c>
      <c r="E4" s="3">
        <v>34</v>
      </c>
      <c r="F4" s="3">
        <v>37</v>
      </c>
      <c r="G4" s="3">
        <v>43</v>
      </c>
      <c r="H4" s="3">
        <v>50</v>
      </c>
      <c r="J4" s="3">
        <v>2</v>
      </c>
      <c r="K4" s="5">
        <f>COUNTIF($C$3:$H$18,Tabela1[[#This Row],[Nº]])</f>
        <v>2</v>
      </c>
      <c r="L4" s="6">
        <f>VLOOKUP(Tabela1[[#This Row],[Nº]],Tabela3[#All],3,FALSE)</f>
        <v>0.125</v>
      </c>
      <c r="M4" s="3">
        <v>17</v>
      </c>
      <c r="N4" s="5">
        <f>COUNTIF($C$3:$H$18,Tabela1[[#This Row],[Nº2]])</f>
        <v>3</v>
      </c>
      <c r="O4" s="6">
        <f>VLOOKUP(Tabela1[[#This Row],[Nº2]],Tabela3[#All],3,FALSE)</f>
        <v>0.188</v>
      </c>
      <c r="P4" s="3">
        <v>32</v>
      </c>
      <c r="Q4" s="5">
        <f>COUNTIF($C$3:$H$18,Tabela1[[#This Row],[Nº5]])</f>
        <v>2</v>
      </c>
      <c r="R4" s="6">
        <f>VLOOKUP(Tabela1[[#This Row],[Nº5]],Tabela3[#All],3,FALSE)</f>
        <v>0.125</v>
      </c>
      <c r="S4" s="3">
        <v>47</v>
      </c>
      <c r="T4" s="5">
        <f>COUNTIF($C$3:$H$18,Tabela1[[#This Row],[Nº8]])</f>
        <v>1</v>
      </c>
      <c r="U4" s="6">
        <f>VLOOKUP(Tabela1[[#This Row],[Nº8]],Tabela3[#All],3,FALSE)</f>
        <v>6.2E-2</v>
      </c>
      <c r="W4" s="4">
        <v>2</v>
      </c>
      <c r="X4" s="1">
        <v>2</v>
      </c>
      <c r="Y4" s="1">
        <v>0.125</v>
      </c>
    </row>
    <row r="5" spans="2:25" x14ac:dyDescent="0.25">
      <c r="B5" s="1">
        <v>2011</v>
      </c>
      <c r="C5" s="3">
        <v>3</v>
      </c>
      <c r="D5" s="3">
        <v>4</v>
      </c>
      <c r="E5" s="3">
        <v>29</v>
      </c>
      <c r="F5" s="3">
        <v>36</v>
      </c>
      <c r="G5" s="3">
        <v>45</v>
      </c>
      <c r="H5" s="3">
        <v>55</v>
      </c>
      <c r="J5" s="3">
        <v>3</v>
      </c>
      <c r="K5" s="5">
        <f>COUNTIF($C$3:$H$18,Tabela1[[#This Row],[Nº]])</f>
        <v>3</v>
      </c>
      <c r="L5" s="6">
        <f>VLOOKUP(Tabela1[[#This Row],[Nº]],Tabela3[#All],3,FALSE)</f>
        <v>0.188</v>
      </c>
      <c r="M5" s="3">
        <v>18</v>
      </c>
      <c r="N5" s="5">
        <f>COUNTIF($C$3:$H$18,Tabela1[[#This Row],[Nº2]])</f>
        <v>2</v>
      </c>
      <c r="O5" s="6">
        <f>VLOOKUP(Tabela1[[#This Row],[Nº2]],Tabela3[#All],3,FALSE)</f>
        <v>0.125</v>
      </c>
      <c r="P5" s="3">
        <v>33</v>
      </c>
      <c r="Q5" s="5">
        <f>COUNTIF($C$3:$H$18,Tabela1[[#This Row],[Nº5]])</f>
        <v>4</v>
      </c>
      <c r="R5" s="6">
        <f>VLOOKUP(Tabela1[[#This Row],[Nº5]],Tabela3[#All],3,FALSE)</f>
        <v>0.25</v>
      </c>
      <c r="S5" s="3">
        <v>48</v>
      </c>
      <c r="T5" s="5">
        <f>COUNTIF($C$3:$H$18,Tabela1[[#This Row],[Nº8]])</f>
        <v>1</v>
      </c>
      <c r="U5" s="6">
        <f>VLOOKUP(Tabela1[[#This Row],[Nº8]],Tabela3[#All],3,FALSE)</f>
        <v>6.2E-2</v>
      </c>
      <c r="W5" s="4">
        <v>3</v>
      </c>
      <c r="X5" s="1">
        <v>3</v>
      </c>
      <c r="Y5" s="1">
        <v>0.188</v>
      </c>
    </row>
    <row r="6" spans="2:25" x14ac:dyDescent="0.25">
      <c r="B6" s="1">
        <v>2012</v>
      </c>
      <c r="C6" s="3">
        <v>14</v>
      </c>
      <c r="D6" s="3">
        <v>32</v>
      </c>
      <c r="E6" s="3">
        <v>33</v>
      </c>
      <c r="F6" s="3">
        <v>36</v>
      </c>
      <c r="G6" s="3">
        <v>41</v>
      </c>
      <c r="H6" s="3">
        <v>52</v>
      </c>
      <c r="J6" s="3">
        <v>4</v>
      </c>
      <c r="K6" s="5">
        <f>COUNTIF($C$3:$H$18,Tabela1[[#This Row],[Nº]])</f>
        <v>2</v>
      </c>
      <c r="L6" s="6">
        <f>VLOOKUP(Tabela1[[#This Row],[Nº]],Tabela3[#All],3,FALSE)</f>
        <v>0.125</v>
      </c>
      <c r="M6" s="3">
        <v>19</v>
      </c>
      <c r="N6" s="5">
        <f>COUNTIF($C$3:$H$18,Tabela1[[#This Row],[Nº2]])</f>
        <v>1</v>
      </c>
      <c r="O6" s="6">
        <f>VLOOKUP(Tabela1[[#This Row],[Nº2]],Tabela3[#All],3,FALSE)</f>
        <v>6.2E-2</v>
      </c>
      <c r="P6" s="3">
        <v>34</v>
      </c>
      <c r="Q6" s="5">
        <f>COUNTIF($C$3:$H$18,Tabela1[[#This Row],[Nº5]])</f>
        <v>3</v>
      </c>
      <c r="R6" s="6">
        <f>VLOOKUP(Tabela1[[#This Row],[Nº5]],Tabela3[#All],3,FALSE)</f>
        <v>0.188</v>
      </c>
      <c r="S6" s="3">
        <v>49</v>
      </c>
      <c r="T6" s="5">
        <f>COUNTIF($C$3:$H$18,Tabela1[[#This Row],[Nº8]])</f>
        <v>1</v>
      </c>
      <c r="U6" s="6">
        <f>VLOOKUP(Tabela1[[#This Row],[Nº8]],Tabela3[#All],3,FALSE)</f>
        <v>6.2E-2</v>
      </c>
      <c r="W6" s="4">
        <v>4</v>
      </c>
      <c r="X6" s="1">
        <v>2</v>
      </c>
      <c r="Y6" s="1">
        <v>0.125</v>
      </c>
    </row>
    <row r="7" spans="2:25" x14ac:dyDescent="0.25">
      <c r="B7" s="1">
        <v>2013</v>
      </c>
      <c r="C7" s="3">
        <v>20</v>
      </c>
      <c r="D7" s="3">
        <v>30</v>
      </c>
      <c r="E7" s="3">
        <v>36</v>
      </c>
      <c r="F7" s="3">
        <v>38</v>
      </c>
      <c r="G7" s="3">
        <v>47</v>
      </c>
      <c r="H7" s="3">
        <v>53</v>
      </c>
      <c r="J7" s="3">
        <v>5</v>
      </c>
      <c r="K7" s="5">
        <f>COUNTIF($C$3:$H$18,Tabela1[[#This Row],[Nº]])</f>
        <v>4</v>
      </c>
      <c r="L7" s="6">
        <f>VLOOKUP(Tabela1[[#This Row],[Nº]],Tabela3[#All],3,FALSE)</f>
        <v>0.25</v>
      </c>
      <c r="M7" s="3">
        <v>20</v>
      </c>
      <c r="N7" s="5">
        <f>COUNTIF($C$3:$H$18,Tabela1[[#This Row],[Nº2]])</f>
        <v>3</v>
      </c>
      <c r="O7" s="6">
        <f>VLOOKUP(Tabela1[[#This Row],[Nº2]],Tabela3[#All],3,FALSE)</f>
        <v>0.188</v>
      </c>
      <c r="P7" s="3">
        <v>35</v>
      </c>
      <c r="Q7" s="5">
        <f>COUNTIF($C$3:$H$18,Tabela1[[#This Row],[Nº5]])</f>
        <v>2</v>
      </c>
      <c r="R7" s="6">
        <f>VLOOKUP(Tabela1[[#This Row],[Nº5]],Tabela3[#All],3,FALSE)</f>
        <v>0.125</v>
      </c>
      <c r="S7" s="3">
        <v>50</v>
      </c>
      <c r="T7" s="5">
        <f>COUNTIF($C$3:$H$18,Tabela1[[#This Row],[Nº8]])</f>
        <v>2</v>
      </c>
      <c r="U7" s="6">
        <f>VLOOKUP(Tabela1[[#This Row],[Nº8]],Tabela3[#All],3,FALSE)</f>
        <v>0.125</v>
      </c>
      <c r="W7" s="4">
        <v>5</v>
      </c>
      <c r="X7" s="1">
        <v>4</v>
      </c>
      <c r="Y7" s="1">
        <v>0.25</v>
      </c>
    </row>
    <row r="8" spans="2:25" x14ac:dyDescent="0.25">
      <c r="B8" s="1">
        <v>2014</v>
      </c>
      <c r="C8" s="3">
        <v>1</v>
      </c>
      <c r="D8" s="3">
        <v>5</v>
      </c>
      <c r="E8" s="3">
        <v>11</v>
      </c>
      <c r="F8" s="3">
        <v>16</v>
      </c>
      <c r="G8" s="3">
        <v>20</v>
      </c>
      <c r="H8" s="3">
        <v>56</v>
      </c>
      <c r="J8" s="3">
        <v>6</v>
      </c>
      <c r="K8" s="5">
        <f>COUNTIF($C$3:$H$18,Tabela1[[#This Row],[Nº]])</f>
        <v>1</v>
      </c>
      <c r="L8" s="6">
        <f>VLOOKUP(Tabela1[[#This Row],[Nº]],Tabela3[#All],3,FALSE)</f>
        <v>6.2E-2</v>
      </c>
      <c r="M8" s="3">
        <v>21</v>
      </c>
      <c r="N8" s="5">
        <f>COUNTIF($C$3:$H$18,Tabela1[[#This Row],[Nº2]])</f>
        <v>1</v>
      </c>
      <c r="O8" s="6">
        <f>VLOOKUP(Tabela1[[#This Row],[Nº2]],Tabela3[#All],3,FALSE)</f>
        <v>6.2E-2</v>
      </c>
      <c r="P8" s="3">
        <v>36</v>
      </c>
      <c r="Q8" s="5">
        <f>COUNTIF($C$3:$H$18,Tabela1[[#This Row],[Nº5]])</f>
        <v>3</v>
      </c>
      <c r="R8" s="6">
        <f>VLOOKUP(Tabela1[[#This Row],[Nº5]],Tabela3[#All],3,FALSE)</f>
        <v>0.188</v>
      </c>
      <c r="S8" s="3">
        <v>51</v>
      </c>
      <c r="T8" s="5">
        <f>COUNTIF($C$3:$H$18,Tabela1[[#This Row],[Nº8]])</f>
        <v>2</v>
      </c>
      <c r="U8" s="6">
        <f>VLOOKUP(Tabela1[[#This Row],[Nº8]],Tabela3[#All],3,FALSE)</f>
        <v>0.125</v>
      </c>
      <c r="W8" s="4">
        <v>6</v>
      </c>
      <c r="X8" s="1">
        <v>1</v>
      </c>
      <c r="Y8" s="1">
        <v>6.2E-2</v>
      </c>
    </row>
    <row r="9" spans="2:25" x14ac:dyDescent="0.25">
      <c r="B9" s="1">
        <v>2015</v>
      </c>
      <c r="C9" s="3">
        <v>2</v>
      </c>
      <c r="D9" s="3">
        <v>18</v>
      </c>
      <c r="E9" s="3">
        <v>31</v>
      </c>
      <c r="F9" s="3">
        <v>42</v>
      </c>
      <c r="G9" s="3">
        <v>51</v>
      </c>
      <c r="H9" s="3">
        <v>56</v>
      </c>
      <c r="J9" s="3">
        <v>7</v>
      </c>
      <c r="K9" s="5">
        <f>COUNTIF($C$3:$H$18,Tabela1[[#This Row],[Nº]])</f>
        <v>0</v>
      </c>
      <c r="L9" s="6">
        <f>VLOOKUP(Tabela1[[#This Row],[Nº]],Tabela3[#All],3,FALSE)</f>
        <v>0</v>
      </c>
      <c r="M9" s="3">
        <v>22</v>
      </c>
      <c r="N9" s="5">
        <f>COUNTIF($C$3:$H$18,Tabela1[[#This Row],[Nº2]])</f>
        <v>2</v>
      </c>
      <c r="O9" s="6">
        <f>VLOOKUP(Tabela1[[#This Row],[Nº2]],Tabela3[#All],3,FALSE)</f>
        <v>0.125</v>
      </c>
      <c r="P9" s="3">
        <v>37</v>
      </c>
      <c r="Q9" s="5">
        <f>COUNTIF($C$3:$H$18,Tabela1[[#This Row],[Nº5]])</f>
        <v>2</v>
      </c>
      <c r="R9" s="6">
        <f>VLOOKUP(Tabela1[[#This Row],[Nº5]],Tabela3[#All],3,FALSE)</f>
        <v>0.125</v>
      </c>
      <c r="S9" s="3">
        <v>52</v>
      </c>
      <c r="T9" s="5">
        <f>COUNTIF($C$3:$H$18,Tabela1[[#This Row],[Nº8]])</f>
        <v>1</v>
      </c>
      <c r="U9" s="6">
        <f>VLOOKUP(Tabela1[[#This Row],[Nº8]],Tabela3[#All],3,FALSE)</f>
        <v>6.2E-2</v>
      </c>
      <c r="W9" s="4">
        <v>7</v>
      </c>
      <c r="X9" s="1">
        <v>0</v>
      </c>
      <c r="Y9" s="1">
        <v>0</v>
      </c>
    </row>
    <row r="10" spans="2:25" x14ac:dyDescent="0.25">
      <c r="B10" s="1">
        <v>2016</v>
      </c>
      <c r="C10" s="3">
        <v>5</v>
      </c>
      <c r="D10" s="3">
        <v>11</v>
      </c>
      <c r="E10" s="3">
        <v>22</v>
      </c>
      <c r="F10" s="3">
        <v>24</v>
      </c>
      <c r="G10" s="3">
        <v>51</v>
      </c>
      <c r="H10" s="3">
        <v>53</v>
      </c>
      <c r="J10" s="3">
        <v>8</v>
      </c>
      <c r="K10" s="5">
        <f>COUNTIF($C$3:$H$18,Tabela1[[#This Row],[Nº]])</f>
        <v>0</v>
      </c>
      <c r="L10" s="6">
        <f>VLOOKUP(Tabela1[[#This Row],[Nº]],Tabela3[#All],3,FALSE)</f>
        <v>0</v>
      </c>
      <c r="M10" s="3">
        <v>23</v>
      </c>
      <c r="N10" s="5">
        <f>COUNTIF($C$3:$H$18,Tabela1[[#This Row],[Nº2]])</f>
        <v>1</v>
      </c>
      <c r="O10" s="6">
        <f>VLOOKUP(Tabela1[[#This Row],[Nº2]],Tabela3[#All],3,FALSE)</f>
        <v>6.2E-2</v>
      </c>
      <c r="P10" s="3">
        <v>38</v>
      </c>
      <c r="Q10" s="5">
        <f>COUNTIF($C$3:$H$18,Tabela1[[#This Row],[Nº5]])</f>
        <v>2</v>
      </c>
      <c r="R10" s="6">
        <f>VLOOKUP(Tabela1[[#This Row],[Nº5]],Tabela3[#All],3,FALSE)</f>
        <v>0.125</v>
      </c>
      <c r="S10" s="3">
        <v>53</v>
      </c>
      <c r="T10" s="5">
        <f>COUNTIF($C$3:$H$18,Tabela1[[#This Row],[Nº8]])</f>
        <v>2</v>
      </c>
      <c r="U10" s="6">
        <f>VLOOKUP(Tabela1[[#This Row],[Nº8]],Tabela3[#All],3,FALSE)</f>
        <v>0.125</v>
      </c>
      <c r="W10" s="4">
        <v>8</v>
      </c>
      <c r="X10" s="1">
        <v>0</v>
      </c>
      <c r="Y10" s="1">
        <v>0</v>
      </c>
    </row>
    <row r="11" spans="2:25" x14ac:dyDescent="0.25">
      <c r="B11" s="1">
        <v>2017</v>
      </c>
      <c r="C11" s="3">
        <v>3</v>
      </c>
      <c r="D11" s="3">
        <v>6</v>
      </c>
      <c r="E11" s="3">
        <v>10</v>
      </c>
      <c r="F11" s="3">
        <v>17</v>
      </c>
      <c r="G11" s="3">
        <v>34</v>
      </c>
      <c r="H11" s="3">
        <v>37</v>
      </c>
      <c r="J11" s="3">
        <v>9</v>
      </c>
      <c r="K11" s="5">
        <f>COUNTIF($C$3:$H$18,Tabela1[[#This Row],[Nº]])</f>
        <v>0</v>
      </c>
      <c r="L11" s="6">
        <f>VLOOKUP(Tabela1[[#This Row],[Nº]],Tabela3[#All],3,FALSE)</f>
        <v>0</v>
      </c>
      <c r="M11" s="3">
        <v>24</v>
      </c>
      <c r="N11" s="5">
        <f>COUNTIF($C$3:$H$18,Tabela1[[#This Row],[Nº2]])</f>
        <v>2</v>
      </c>
      <c r="O11" s="6">
        <f>VLOOKUP(Tabela1[[#This Row],[Nº2]],Tabela3[#All],3,FALSE)</f>
        <v>0.125</v>
      </c>
      <c r="P11" s="3">
        <v>39</v>
      </c>
      <c r="Q11" s="5">
        <f>COUNTIF($C$3:$H$18,Tabela1[[#This Row],[Nº5]])</f>
        <v>0</v>
      </c>
      <c r="R11" s="6">
        <f>VLOOKUP(Tabela1[[#This Row],[Nº5]],Tabela3[#All],3,FALSE)</f>
        <v>0</v>
      </c>
      <c r="S11" s="3">
        <v>54</v>
      </c>
      <c r="T11" s="5">
        <f>COUNTIF($C$3:$H$18,Tabela1[[#This Row],[Nº8]])</f>
        <v>0</v>
      </c>
      <c r="U11" s="6">
        <f>VLOOKUP(Tabela1[[#This Row],[Nº8]],Tabela3[#All],3,FALSE)</f>
        <v>0</v>
      </c>
      <c r="W11" s="4">
        <v>9</v>
      </c>
      <c r="X11" s="1">
        <v>0</v>
      </c>
      <c r="Y11" s="1">
        <v>0</v>
      </c>
    </row>
    <row r="12" spans="2:25" x14ac:dyDescent="0.25">
      <c r="B12" s="1">
        <v>2018</v>
      </c>
      <c r="C12" s="3">
        <v>5</v>
      </c>
      <c r="D12" s="3">
        <v>10</v>
      </c>
      <c r="E12" s="3">
        <v>12</v>
      </c>
      <c r="F12" s="3">
        <v>18</v>
      </c>
      <c r="G12" s="3">
        <v>25</v>
      </c>
      <c r="H12" s="3">
        <v>33</v>
      </c>
      <c r="J12" s="3">
        <v>10</v>
      </c>
      <c r="K12" s="5">
        <f>COUNTIF($C$3:$H$18,Tabela1[[#This Row],[Nº]])</f>
        <v>5</v>
      </c>
      <c r="L12" s="6">
        <f>VLOOKUP(Tabela1[[#This Row],[Nº]],Tabela3[#All],3,FALSE)</f>
        <v>0.312</v>
      </c>
      <c r="M12" s="3">
        <v>25</v>
      </c>
      <c r="N12" s="5">
        <f>COUNTIF($C$3:$H$18,Tabela1[[#This Row],[Nº2]])</f>
        <v>1</v>
      </c>
      <c r="O12" s="6">
        <f>VLOOKUP(Tabela1[[#This Row],[Nº2]],Tabela3[#All],3,FALSE)</f>
        <v>6.2E-2</v>
      </c>
      <c r="P12" s="3">
        <v>40</v>
      </c>
      <c r="Q12" s="5">
        <f>COUNTIF($C$3:$H$18,Tabela1[[#This Row],[Nº5]])</f>
        <v>2</v>
      </c>
      <c r="R12" s="6">
        <f>VLOOKUP(Tabela1[[#This Row],[Nº5]],Tabela3[#All],3,FALSE)</f>
        <v>0.125</v>
      </c>
      <c r="S12" s="3">
        <v>55</v>
      </c>
      <c r="T12" s="5">
        <f>COUNTIF($C$3:$H$18,Tabela1[[#This Row],[Nº8]])</f>
        <v>1</v>
      </c>
      <c r="U12" s="6">
        <f>VLOOKUP(Tabela1[[#This Row],[Nº8]],Tabela3[#All],3,FALSE)</f>
        <v>6.2E-2</v>
      </c>
      <c r="W12" s="4">
        <v>10</v>
      </c>
      <c r="X12" s="1">
        <v>5</v>
      </c>
      <c r="Y12" s="1">
        <v>0.312</v>
      </c>
    </row>
    <row r="13" spans="2:25" x14ac:dyDescent="0.25">
      <c r="B13" s="1">
        <v>2019</v>
      </c>
      <c r="C13" s="3">
        <v>3</v>
      </c>
      <c r="D13" s="3">
        <v>35</v>
      </c>
      <c r="E13" s="3">
        <v>38</v>
      </c>
      <c r="F13" s="3">
        <v>40</v>
      </c>
      <c r="G13" s="3">
        <v>57</v>
      </c>
      <c r="H13" s="3">
        <v>58</v>
      </c>
      <c r="J13" s="3">
        <v>11</v>
      </c>
      <c r="K13" s="5">
        <f>COUNTIF($C$3:$H$18,Tabela1[[#This Row],[Nº]])</f>
        <v>2</v>
      </c>
      <c r="L13" s="6">
        <f>VLOOKUP(Tabela1[[#This Row],[Nº]],Tabela3[#All],3,FALSE)</f>
        <v>0.125</v>
      </c>
      <c r="M13" s="3">
        <v>26</v>
      </c>
      <c r="N13" s="5">
        <f>COUNTIF($C$3:$H$18,Tabela1[[#This Row],[Nº2]])</f>
        <v>0</v>
      </c>
      <c r="O13" s="6">
        <f>VLOOKUP(Tabela1[[#This Row],[Nº2]],Tabela3[#All],3,FALSE)</f>
        <v>0</v>
      </c>
      <c r="P13" s="3">
        <v>41</v>
      </c>
      <c r="Q13" s="5">
        <f>COUNTIF($C$3:$H$18,Tabela1[[#This Row],[Nº5]])</f>
        <v>3</v>
      </c>
      <c r="R13" s="6">
        <f>VLOOKUP(Tabela1[[#This Row],[Nº5]],Tabela3[#All],3,FALSE)</f>
        <v>0.188</v>
      </c>
      <c r="S13" s="3">
        <v>56</v>
      </c>
      <c r="T13" s="5">
        <f>COUNTIF($C$3:$H$18,Tabela1[[#This Row],[Nº8]])</f>
        <v>3</v>
      </c>
      <c r="U13" s="6">
        <f>VLOOKUP(Tabela1[[#This Row],[Nº8]],Tabela3[#All],3,FALSE)</f>
        <v>0.188</v>
      </c>
      <c r="W13" s="4">
        <v>11</v>
      </c>
      <c r="X13" s="1">
        <v>2</v>
      </c>
      <c r="Y13" s="1">
        <v>0.125</v>
      </c>
    </row>
    <row r="14" spans="2:25" x14ac:dyDescent="0.25">
      <c r="B14" s="1">
        <v>2020</v>
      </c>
      <c r="C14" s="3">
        <v>17</v>
      </c>
      <c r="D14" s="3">
        <v>20</v>
      </c>
      <c r="E14" s="3">
        <v>22</v>
      </c>
      <c r="F14" s="3">
        <v>35</v>
      </c>
      <c r="G14" s="3">
        <v>41</v>
      </c>
      <c r="H14" s="3">
        <v>42</v>
      </c>
      <c r="J14" s="3">
        <v>12</v>
      </c>
      <c r="K14" s="5">
        <f>COUNTIF($C$3:$H$18,Tabela1[[#This Row],[Nº]])</f>
        <v>2</v>
      </c>
      <c r="L14" s="6">
        <f>VLOOKUP(Tabela1[[#This Row],[Nº]],Tabela3[#All],3,FALSE)</f>
        <v>0.125</v>
      </c>
      <c r="M14" s="3">
        <v>27</v>
      </c>
      <c r="N14" s="5">
        <f>COUNTIF($C$3:$H$18,Tabela1[[#This Row],[Nº2]])</f>
        <v>1</v>
      </c>
      <c r="O14" s="6">
        <f>VLOOKUP(Tabela1[[#This Row],[Nº2]],Tabela3[#All],3,FALSE)</f>
        <v>6.2E-2</v>
      </c>
      <c r="P14" s="3">
        <v>42</v>
      </c>
      <c r="Q14" s="5">
        <f>COUNTIF($C$3:$H$18,Tabela1[[#This Row],[Nº5]])</f>
        <v>2</v>
      </c>
      <c r="R14" s="6">
        <f>VLOOKUP(Tabela1[[#This Row],[Nº5]],Tabela3[#All],3,FALSE)</f>
        <v>0.125</v>
      </c>
      <c r="S14" s="3">
        <v>57</v>
      </c>
      <c r="T14" s="5">
        <f>COUNTIF($C$3:$H$18,Tabela1[[#This Row],[Nº8]])</f>
        <v>2</v>
      </c>
      <c r="U14" s="6">
        <f>VLOOKUP(Tabela1[[#This Row],[Nº8]],Tabela3[#All],3,FALSE)</f>
        <v>0.125</v>
      </c>
      <c r="W14" s="4">
        <v>12</v>
      </c>
      <c r="X14" s="1">
        <v>2</v>
      </c>
      <c r="Y14" s="1">
        <v>0.125</v>
      </c>
    </row>
    <row r="15" spans="2:25" x14ac:dyDescent="0.25">
      <c r="B15" s="1">
        <v>2021</v>
      </c>
      <c r="C15" s="3">
        <v>12</v>
      </c>
      <c r="D15" s="3">
        <v>15</v>
      </c>
      <c r="E15" s="3">
        <v>23</v>
      </c>
      <c r="F15" s="3">
        <v>32</v>
      </c>
      <c r="G15" s="3">
        <v>33</v>
      </c>
      <c r="H15" s="3">
        <v>46</v>
      </c>
      <c r="J15" s="3">
        <v>13</v>
      </c>
      <c r="K15" s="5">
        <f>COUNTIF($C$3:$H$18,Tabela1[[#This Row],[Nº]])</f>
        <v>0</v>
      </c>
      <c r="L15" s="6">
        <f>VLOOKUP(Tabela1[[#This Row],[Nº]],Tabela3[#All],3,FALSE)</f>
        <v>0</v>
      </c>
      <c r="M15" s="3">
        <v>28</v>
      </c>
      <c r="N15" s="5">
        <f>COUNTIF($C$3:$H$18,Tabela1[[#This Row],[Nº2]])</f>
        <v>0</v>
      </c>
      <c r="O15" s="6">
        <f>VLOOKUP(Tabela1[[#This Row],[Nº2]],Tabela3[#All],3,FALSE)</f>
        <v>0</v>
      </c>
      <c r="P15" s="3">
        <v>43</v>
      </c>
      <c r="Q15" s="5">
        <f>COUNTIF($C$3:$H$18,Tabela1[[#This Row],[Nº5]])</f>
        <v>1</v>
      </c>
      <c r="R15" s="6">
        <f>VLOOKUP(Tabela1[[#This Row],[Nº5]],Tabela3[#All],3,FALSE)</f>
        <v>6.2E-2</v>
      </c>
      <c r="S15" s="3">
        <v>58</v>
      </c>
      <c r="T15" s="5">
        <f>COUNTIF($C$3:$H$18,Tabela1[[#This Row],[Nº8]])</f>
        <v>3</v>
      </c>
      <c r="U15" s="6">
        <f>VLOOKUP(Tabela1[[#This Row],[Nº8]],Tabela3[#All],3,FALSE)</f>
        <v>0.188</v>
      </c>
      <c r="W15" s="4">
        <v>13</v>
      </c>
      <c r="X15" s="1">
        <v>0</v>
      </c>
      <c r="Y15" s="1">
        <v>0</v>
      </c>
    </row>
    <row r="16" spans="2:25" x14ac:dyDescent="0.25">
      <c r="B16" s="1">
        <v>2022</v>
      </c>
      <c r="C16" s="3">
        <v>4</v>
      </c>
      <c r="D16" s="3">
        <v>5</v>
      </c>
      <c r="E16" s="3">
        <v>10</v>
      </c>
      <c r="F16" s="3">
        <v>34</v>
      </c>
      <c r="G16" s="3">
        <v>58</v>
      </c>
      <c r="H16" s="3">
        <v>59</v>
      </c>
      <c r="J16" s="3">
        <v>14</v>
      </c>
      <c r="K16" s="5">
        <f>COUNTIF($C$3:$H$18,Tabela1[[#This Row],[Nº]])</f>
        <v>1</v>
      </c>
      <c r="L16" s="6">
        <f>VLOOKUP(Tabela1[[#This Row],[Nº]],Tabela3[#All],3,FALSE)</f>
        <v>6.2E-2</v>
      </c>
      <c r="M16" s="3">
        <v>29</v>
      </c>
      <c r="N16" s="5">
        <f>COUNTIF($C$3:$H$18,Tabela1[[#This Row],[Nº2]])</f>
        <v>2</v>
      </c>
      <c r="O16" s="6">
        <f>VLOOKUP(Tabela1[[#This Row],[Nº2]],Tabela3[#All],3,FALSE)</f>
        <v>0.125</v>
      </c>
      <c r="P16" s="3">
        <v>44</v>
      </c>
      <c r="Q16" s="5">
        <f>COUNTIF($C$3:$H$18,Tabela1[[#This Row],[Nº5]])</f>
        <v>0</v>
      </c>
      <c r="R16" s="6">
        <f>VLOOKUP(Tabela1[[#This Row],[Nº5]],Tabela3[#All],3,FALSE)</f>
        <v>0</v>
      </c>
      <c r="S16" s="3">
        <v>59</v>
      </c>
      <c r="T16" s="5">
        <f>COUNTIF($C$3:$H$18,Tabela1[[#This Row],[Nº8]])</f>
        <v>1</v>
      </c>
      <c r="U16" s="6">
        <f>VLOOKUP(Tabela1[[#This Row],[Nº8]],Tabela3[#All],3,FALSE)</f>
        <v>6.2E-2</v>
      </c>
      <c r="W16" s="4">
        <v>14</v>
      </c>
      <c r="X16" s="1">
        <v>1</v>
      </c>
      <c r="Y16" s="1">
        <v>6.2E-2</v>
      </c>
    </row>
    <row r="17" spans="2:25" x14ac:dyDescent="0.25">
      <c r="B17" s="1">
        <v>2023</v>
      </c>
      <c r="C17" s="3">
        <v>21</v>
      </c>
      <c r="D17" s="3">
        <v>24</v>
      </c>
      <c r="E17" s="3">
        <v>33</v>
      </c>
      <c r="F17" s="3">
        <v>41</v>
      </c>
      <c r="G17" s="3">
        <v>48</v>
      </c>
      <c r="H17" s="3">
        <v>56</v>
      </c>
      <c r="J17" s="3">
        <v>15</v>
      </c>
      <c r="K17" s="5">
        <f>COUNTIF($C$3:$H$18,Tabela1[[#This Row],[Nº]])</f>
        <v>1</v>
      </c>
      <c r="L17" s="6">
        <f>VLOOKUP(Tabela1[[#This Row],[Nº]],Tabela3[#All],3,FALSE)</f>
        <v>6.2E-2</v>
      </c>
      <c r="M17" s="3">
        <v>30</v>
      </c>
      <c r="N17" s="5">
        <f>COUNTIF($C$3:$H$18,Tabela1[[#This Row],[Nº2]])</f>
        <v>1</v>
      </c>
      <c r="O17" s="6">
        <f>VLOOKUP(Tabela1[[#This Row],[Nº2]],Tabela3[#All],3,FALSE)</f>
        <v>6.2E-2</v>
      </c>
      <c r="P17" s="3">
        <v>45</v>
      </c>
      <c r="Q17" s="5">
        <f>COUNTIF($C$3:$H$18,Tabela1[[#This Row],[Nº5]])</f>
        <v>1</v>
      </c>
      <c r="R17" s="6">
        <f>VLOOKUP(Tabela1[[#This Row],[Nº5]],Tabela3[#All],3,FALSE)</f>
        <v>6.2E-2</v>
      </c>
      <c r="S17" s="3">
        <v>60</v>
      </c>
      <c r="T17" s="5">
        <f>COUNTIF($C$3:$H$18,Tabela1[[#This Row],[Nº8]])</f>
        <v>0</v>
      </c>
      <c r="U17" s="6">
        <f>VLOOKUP(Tabela1[[#This Row],[Nº8]],Tabela3[#All],3,FALSE)</f>
        <v>0</v>
      </c>
      <c r="W17" s="4">
        <v>15</v>
      </c>
      <c r="X17" s="1">
        <v>1</v>
      </c>
      <c r="Y17" s="1">
        <v>6.2E-2</v>
      </c>
    </row>
    <row r="18" spans="2:25" x14ac:dyDescent="0.25">
      <c r="B18" s="1">
        <v>2024</v>
      </c>
      <c r="C18" s="3">
        <v>50</v>
      </c>
      <c r="D18" s="3">
        <v>17</v>
      </c>
      <c r="E18" s="3">
        <v>29</v>
      </c>
      <c r="F18" s="3">
        <v>57</v>
      </c>
      <c r="G18" s="3">
        <v>1</v>
      </c>
      <c r="H18" s="3">
        <v>19</v>
      </c>
      <c r="W18" s="4">
        <v>16</v>
      </c>
      <c r="X18" s="1">
        <v>1</v>
      </c>
      <c r="Y18" s="1">
        <v>6.2E-2</v>
      </c>
    </row>
    <row r="19" spans="2:25" x14ac:dyDescent="0.25">
      <c r="W19" s="4">
        <v>17</v>
      </c>
      <c r="X19" s="1">
        <v>3</v>
      </c>
      <c r="Y19" s="1">
        <v>0.188</v>
      </c>
    </row>
    <row r="20" spans="2:25" x14ac:dyDescent="0.25">
      <c r="W20" s="4">
        <v>18</v>
      </c>
      <c r="X20" s="1">
        <v>2</v>
      </c>
      <c r="Y20" s="1">
        <v>0.125</v>
      </c>
    </row>
    <row r="21" spans="2:25" x14ac:dyDescent="0.25">
      <c r="W21" s="4">
        <v>19</v>
      </c>
      <c r="X21" s="1">
        <v>1</v>
      </c>
      <c r="Y21" s="1">
        <v>6.2E-2</v>
      </c>
    </row>
    <row r="22" spans="2:25" x14ac:dyDescent="0.25">
      <c r="W22" s="4">
        <v>20</v>
      </c>
      <c r="X22" s="1">
        <v>3</v>
      </c>
      <c r="Y22" s="1">
        <v>0.188</v>
      </c>
    </row>
    <row r="23" spans="2:25" x14ac:dyDescent="0.25">
      <c r="J23" s="2" t="s">
        <v>9</v>
      </c>
      <c r="K23" s="2" t="s">
        <v>10</v>
      </c>
      <c r="L23" s="2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t="s">
        <v>19</v>
      </c>
      <c r="U23" t="s">
        <v>20</v>
      </c>
      <c r="W23" s="4">
        <v>21</v>
      </c>
      <c r="X23" s="1">
        <v>1</v>
      </c>
      <c r="Y23" s="1">
        <v>6.2E-2</v>
      </c>
    </row>
    <row r="24" spans="2:25" x14ac:dyDescent="0.25">
      <c r="J24" s="2">
        <v>1</v>
      </c>
      <c r="K24" s="2">
        <v>2</v>
      </c>
      <c r="L24" s="7">
        <v>0.125</v>
      </c>
      <c r="M24" s="1">
        <v>16</v>
      </c>
      <c r="N24" s="1">
        <v>1</v>
      </c>
      <c r="O24" s="1">
        <v>6.2E-2</v>
      </c>
      <c r="P24" s="1">
        <v>31</v>
      </c>
      <c r="Q24" s="1">
        <v>1</v>
      </c>
      <c r="R24" s="1">
        <v>6.2E-2</v>
      </c>
      <c r="S24" s="1">
        <v>46</v>
      </c>
      <c r="T24">
        <v>2</v>
      </c>
      <c r="U24">
        <v>0.125</v>
      </c>
      <c r="W24" s="4">
        <v>22</v>
      </c>
      <c r="X24" s="1">
        <v>2</v>
      </c>
      <c r="Y24" s="1">
        <v>0.125</v>
      </c>
    </row>
    <row r="25" spans="2:25" x14ac:dyDescent="0.25">
      <c r="J25" s="2">
        <v>2</v>
      </c>
      <c r="K25" s="2">
        <v>2</v>
      </c>
      <c r="L25" s="7">
        <v>0.125</v>
      </c>
      <c r="M25" s="1">
        <v>17</v>
      </c>
      <c r="N25" s="1">
        <v>3</v>
      </c>
      <c r="O25" s="1">
        <v>0.188</v>
      </c>
      <c r="P25" s="1">
        <v>32</v>
      </c>
      <c r="Q25" s="1">
        <v>2</v>
      </c>
      <c r="R25" s="1">
        <v>0.125</v>
      </c>
      <c r="S25" s="1">
        <v>47</v>
      </c>
      <c r="T25">
        <v>1</v>
      </c>
      <c r="U25">
        <v>6.2E-2</v>
      </c>
      <c r="W25" s="4">
        <v>23</v>
      </c>
      <c r="X25" s="1">
        <v>1</v>
      </c>
      <c r="Y25" s="1">
        <v>6.2E-2</v>
      </c>
    </row>
    <row r="26" spans="2:25" x14ac:dyDescent="0.25">
      <c r="J26" s="2">
        <v>3</v>
      </c>
      <c r="K26" s="2">
        <v>3</v>
      </c>
      <c r="L26" s="7">
        <v>0.188</v>
      </c>
      <c r="M26" s="1">
        <v>18</v>
      </c>
      <c r="N26" s="1">
        <v>2</v>
      </c>
      <c r="O26" s="1">
        <v>0.125</v>
      </c>
      <c r="P26" s="1">
        <v>33</v>
      </c>
      <c r="Q26" s="1">
        <v>4</v>
      </c>
      <c r="R26" s="1">
        <v>0.25</v>
      </c>
      <c r="S26" s="1">
        <v>48</v>
      </c>
      <c r="T26">
        <v>1</v>
      </c>
      <c r="U26">
        <v>6.2E-2</v>
      </c>
      <c r="W26" s="4">
        <v>24</v>
      </c>
      <c r="X26" s="1">
        <v>2</v>
      </c>
      <c r="Y26" s="1">
        <v>0.125</v>
      </c>
    </row>
    <row r="27" spans="2:25" x14ac:dyDescent="0.25">
      <c r="J27" s="2">
        <v>4</v>
      </c>
      <c r="K27" s="2">
        <v>2</v>
      </c>
      <c r="L27" s="7">
        <v>0.125</v>
      </c>
      <c r="M27" s="1">
        <v>19</v>
      </c>
      <c r="N27" s="1">
        <v>1</v>
      </c>
      <c r="O27" s="1">
        <v>6.2E-2</v>
      </c>
      <c r="P27" s="1">
        <v>34</v>
      </c>
      <c r="Q27" s="1">
        <v>3</v>
      </c>
      <c r="R27" s="1">
        <v>0.188</v>
      </c>
      <c r="S27" s="1">
        <v>49</v>
      </c>
      <c r="T27">
        <v>1</v>
      </c>
      <c r="U27">
        <v>6.2E-2</v>
      </c>
      <c r="W27" s="4">
        <v>25</v>
      </c>
      <c r="X27" s="1">
        <v>1</v>
      </c>
      <c r="Y27" s="1">
        <v>6.2E-2</v>
      </c>
    </row>
    <row r="28" spans="2:25" x14ac:dyDescent="0.25">
      <c r="J28" s="2">
        <v>5</v>
      </c>
      <c r="K28" s="2">
        <v>4</v>
      </c>
      <c r="L28" s="7">
        <v>0.25</v>
      </c>
      <c r="M28" s="1">
        <v>20</v>
      </c>
      <c r="N28" s="1">
        <v>3</v>
      </c>
      <c r="O28" s="1">
        <v>0.188</v>
      </c>
      <c r="P28" s="1">
        <v>35</v>
      </c>
      <c r="Q28" s="1">
        <v>2</v>
      </c>
      <c r="R28" s="1">
        <v>0.125</v>
      </c>
      <c r="S28" s="1">
        <v>50</v>
      </c>
      <c r="T28">
        <v>2</v>
      </c>
      <c r="U28">
        <v>0.125</v>
      </c>
      <c r="W28" s="4">
        <v>26</v>
      </c>
      <c r="X28" s="1">
        <v>0</v>
      </c>
      <c r="Y28" s="1">
        <v>0</v>
      </c>
    </row>
    <row r="29" spans="2:25" x14ac:dyDescent="0.25">
      <c r="J29" s="2">
        <v>6</v>
      </c>
      <c r="K29" s="2">
        <v>1</v>
      </c>
      <c r="L29" s="7">
        <v>6.2E-2</v>
      </c>
      <c r="M29" s="1">
        <v>21</v>
      </c>
      <c r="N29" s="1">
        <v>1</v>
      </c>
      <c r="O29" s="1">
        <v>6.2E-2</v>
      </c>
      <c r="P29" s="1">
        <v>36</v>
      </c>
      <c r="Q29" s="1">
        <v>3</v>
      </c>
      <c r="R29" s="1">
        <v>0.188</v>
      </c>
      <c r="S29" s="1">
        <v>51</v>
      </c>
      <c r="T29">
        <v>2</v>
      </c>
      <c r="U29">
        <v>0.125</v>
      </c>
      <c r="W29" s="4">
        <v>27</v>
      </c>
      <c r="X29" s="1">
        <v>1</v>
      </c>
      <c r="Y29" s="1">
        <v>6.2E-2</v>
      </c>
    </row>
    <row r="30" spans="2:25" x14ac:dyDescent="0.25">
      <c r="J30" s="2">
        <v>7</v>
      </c>
      <c r="K30" s="2">
        <v>0</v>
      </c>
      <c r="L30" s="7">
        <v>0</v>
      </c>
      <c r="M30" s="1">
        <v>22</v>
      </c>
      <c r="N30" s="1">
        <v>2</v>
      </c>
      <c r="O30" s="1">
        <v>0.125</v>
      </c>
      <c r="P30" s="1">
        <v>37</v>
      </c>
      <c r="Q30" s="1">
        <v>2</v>
      </c>
      <c r="R30" s="1">
        <v>0.125</v>
      </c>
      <c r="S30" s="1">
        <v>52</v>
      </c>
      <c r="T30">
        <v>1</v>
      </c>
      <c r="U30">
        <v>6.2E-2</v>
      </c>
      <c r="W30" s="4">
        <v>28</v>
      </c>
      <c r="X30" s="1">
        <v>0</v>
      </c>
      <c r="Y30" s="1">
        <v>0</v>
      </c>
    </row>
    <row r="31" spans="2:25" x14ac:dyDescent="0.25">
      <c r="J31" s="2">
        <v>8</v>
      </c>
      <c r="K31" s="2">
        <v>0</v>
      </c>
      <c r="L31" s="7">
        <v>0</v>
      </c>
      <c r="M31" s="1">
        <v>23</v>
      </c>
      <c r="N31" s="1">
        <v>1</v>
      </c>
      <c r="O31" s="1">
        <v>6.2E-2</v>
      </c>
      <c r="P31" s="1">
        <v>38</v>
      </c>
      <c r="Q31" s="1">
        <v>2</v>
      </c>
      <c r="R31" s="1">
        <v>0.125</v>
      </c>
      <c r="S31" s="1">
        <v>53</v>
      </c>
      <c r="T31">
        <v>2</v>
      </c>
      <c r="U31">
        <v>0.125</v>
      </c>
      <c r="W31" s="4">
        <v>29</v>
      </c>
      <c r="X31" s="1">
        <v>2</v>
      </c>
      <c r="Y31" s="1">
        <v>0.125</v>
      </c>
    </row>
    <row r="32" spans="2:25" x14ac:dyDescent="0.25">
      <c r="J32" s="2">
        <v>9</v>
      </c>
      <c r="K32" s="2">
        <v>0</v>
      </c>
      <c r="L32" s="7">
        <v>0</v>
      </c>
      <c r="M32" s="1">
        <v>24</v>
      </c>
      <c r="N32" s="1">
        <v>2</v>
      </c>
      <c r="O32" s="1">
        <v>0.125</v>
      </c>
      <c r="P32" s="1">
        <v>39</v>
      </c>
      <c r="Q32" s="1">
        <v>0</v>
      </c>
      <c r="R32" s="1">
        <v>0</v>
      </c>
      <c r="S32" s="1">
        <v>54</v>
      </c>
      <c r="T32">
        <v>0</v>
      </c>
      <c r="U32">
        <v>0</v>
      </c>
      <c r="W32" s="4">
        <v>30</v>
      </c>
      <c r="X32" s="1">
        <v>1</v>
      </c>
      <c r="Y32" s="1">
        <v>6.2E-2</v>
      </c>
    </row>
    <row r="33" spans="10:25" x14ac:dyDescent="0.25">
      <c r="J33" s="2">
        <v>10</v>
      </c>
      <c r="K33" s="2">
        <v>5</v>
      </c>
      <c r="L33" s="7">
        <v>0.312</v>
      </c>
      <c r="M33" s="1">
        <v>25</v>
      </c>
      <c r="N33" s="1">
        <v>1</v>
      </c>
      <c r="O33" s="1">
        <v>6.2E-2</v>
      </c>
      <c r="P33" s="1">
        <v>40</v>
      </c>
      <c r="Q33" s="1">
        <v>2</v>
      </c>
      <c r="R33" s="1">
        <v>0.125</v>
      </c>
      <c r="S33" s="1">
        <v>55</v>
      </c>
      <c r="T33">
        <v>1</v>
      </c>
      <c r="U33">
        <v>6.2E-2</v>
      </c>
      <c r="W33" s="4">
        <v>31</v>
      </c>
      <c r="X33" s="1">
        <v>1</v>
      </c>
      <c r="Y33" s="1">
        <v>6.2E-2</v>
      </c>
    </row>
    <row r="34" spans="10:25" x14ac:dyDescent="0.25">
      <c r="J34" s="2">
        <v>11</v>
      </c>
      <c r="K34" s="2">
        <v>2</v>
      </c>
      <c r="L34" s="7">
        <v>0.125</v>
      </c>
      <c r="M34" s="1">
        <v>26</v>
      </c>
      <c r="N34" s="1">
        <v>0</v>
      </c>
      <c r="O34" s="1">
        <v>0</v>
      </c>
      <c r="P34" s="1">
        <v>41</v>
      </c>
      <c r="Q34" s="1">
        <v>3</v>
      </c>
      <c r="R34" s="1">
        <v>0.188</v>
      </c>
      <c r="S34" s="1">
        <v>56</v>
      </c>
      <c r="T34">
        <v>3</v>
      </c>
      <c r="U34">
        <v>0.188</v>
      </c>
      <c r="W34" s="4">
        <v>32</v>
      </c>
      <c r="X34" s="1">
        <v>2</v>
      </c>
      <c r="Y34" s="1">
        <v>0.125</v>
      </c>
    </row>
    <row r="35" spans="10:25" x14ac:dyDescent="0.25">
      <c r="J35" s="2">
        <v>12</v>
      </c>
      <c r="K35" s="2">
        <v>2</v>
      </c>
      <c r="L35" s="7">
        <v>0.125</v>
      </c>
      <c r="M35" s="1">
        <v>27</v>
      </c>
      <c r="N35" s="1">
        <v>1</v>
      </c>
      <c r="O35" s="1">
        <v>6.2E-2</v>
      </c>
      <c r="P35" s="1">
        <v>42</v>
      </c>
      <c r="Q35" s="1">
        <v>2</v>
      </c>
      <c r="R35" s="1">
        <v>0.125</v>
      </c>
      <c r="S35" s="1">
        <v>57</v>
      </c>
      <c r="T35">
        <v>2</v>
      </c>
      <c r="U35">
        <v>0.125</v>
      </c>
      <c r="W35" s="4">
        <v>33</v>
      </c>
      <c r="X35" s="1">
        <v>4</v>
      </c>
      <c r="Y35" s="1">
        <v>0.25</v>
      </c>
    </row>
    <row r="36" spans="10:25" x14ac:dyDescent="0.25">
      <c r="J36" s="2">
        <v>13</v>
      </c>
      <c r="K36" s="2">
        <v>0</v>
      </c>
      <c r="L36" s="7">
        <v>0</v>
      </c>
      <c r="M36" s="1">
        <v>28</v>
      </c>
      <c r="N36" s="1">
        <v>0</v>
      </c>
      <c r="O36" s="1">
        <v>0</v>
      </c>
      <c r="P36" s="1">
        <v>43</v>
      </c>
      <c r="Q36" s="1">
        <v>1</v>
      </c>
      <c r="R36" s="1">
        <v>6.2E-2</v>
      </c>
      <c r="S36" s="1">
        <v>58</v>
      </c>
      <c r="T36">
        <v>3</v>
      </c>
      <c r="U36">
        <v>0.188</v>
      </c>
      <c r="W36" s="4">
        <v>34</v>
      </c>
      <c r="X36" s="1">
        <v>3</v>
      </c>
      <c r="Y36" s="1">
        <v>0.188</v>
      </c>
    </row>
    <row r="37" spans="10:25" x14ac:dyDescent="0.25">
      <c r="J37" s="2">
        <v>14</v>
      </c>
      <c r="K37" s="2">
        <v>1</v>
      </c>
      <c r="L37" s="7">
        <v>6.2E-2</v>
      </c>
      <c r="M37" s="1">
        <v>29</v>
      </c>
      <c r="N37" s="1">
        <v>2</v>
      </c>
      <c r="O37" s="1">
        <v>0.125</v>
      </c>
      <c r="P37" s="1">
        <v>44</v>
      </c>
      <c r="Q37" s="1">
        <v>0</v>
      </c>
      <c r="R37" s="1">
        <v>0</v>
      </c>
      <c r="S37" s="1">
        <v>59</v>
      </c>
      <c r="T37">
        <v>1</v>
      </c>
      <c r="U37">
        <v>6.2E-2</v>
      </c>
      <c r="W37" s="4">
        <v>35</v>
      </c>
      <c r="X37" s="1">
        <v>2</v>
      </c>
      <c r="Y37" s="1">
        <v>0.125</v>
      </c>
    </row>
    <row r="38" spans="10:25" x14ac:dyDescent="0.25">
      <c r="J38" s="2">
        <v>15</v>
      </c>
      <c r="K38" s="2">
        <v>1</v>
      </c>
      <c r="L38" s="7">
        <v>6.2E-2</v>
      </c>
      <c r="M38" s="1">
        <v>30</v>
      </c>
      <c r="N38" s="1">
        <v>1</v>
      </c>
      <c r="O38" s="1">
        <v>6.2E-2</v>
      </c>
      <c r="P38" s="1">
        <v>45</v>
      </c>
      <c r="Q38" s="1">
        <v>1</v>
      </c>
      <c r="R38" s="1">
        <v>6.2E-2</v>
      </c>
      <c r="S38" s="1">
        <v>60</v>
      </c>
      <c r="T38">
        <v>0</v>
      </c>
      <c r="U38">
        <v>0</v>
      </c>
      <c r="W38" s="4">
        <v>36</v>
      </c>
      <c r="X38" s="1">
        <v>3</v>
      </c>
      <c r="Y38" s="1">
        <v>0.188</v>
      </c>
    </row>
    <row r="39" spans="10:25" x14ac:dyDescent="0.25">
      <c r="J39" s="2">
        <v>16</v>
      </c>
      <c r="K39" s="2">
        <v>1</v>
      </c>
      <c r="L39" s="7">
        <v>6.2E-2</v>
      </c>
      <c r="W39" s="4">
        <v>37</v>
      </c>
      <c r="X39" s="1">
        <v>2</v>
      </c>
      <c r="Y39" s="1">
        <v>0.125</v>
      </c>
    </row>
    <row r="40" spans="10:25" x14ac:dyDescent="0.25">
      <c r="J40" s="2">
        <v>17</v>
      </c>
      <c r="K40" s="2">
        <v>3</v>
      </c>
      <c r="L40" s="7">
        <v>0.188</v>
      </c>
      <c r="W40" s="4">
        <v>38</v>
      </c>
      <c r="X40" s="1">
        <v>2</v>
      </c>
      <c r="Y40" s="1">
        <v>0.125</v>
      </c>
    </row>
    <row r="41" spans="10:25" x14ac:dyDescent="0.25">
      <c r="J41" s="2">
        <v>18</v>
      </c>
      <c r="K41" s="2">
        <v>2</v>
      </c>
      <c r="L41" s="7">
        <v>0.125</v>
      </c>
      <c r="W41" s="4">
        <v>39</v>
      </c>
      <c r="X41" s="1">
        <v>0</v>
      </c>
      <c r="Y41" s="1">
        <v>0</v>
      </c>
    </row>
    <row r="42" spans="10:25" x14ac:dyDescent="0.25">
      <c r="J42" s="2">
        <v>19</v>
      </c>
      <c r="K42" s="2">
        <v>1</v>
      </c>
      <c r="L42" s="7">
        <v>6.2E-2</v>
      </c>
      <c r="W42" s="4">
        <v>40</v>
      </c>
      <c r="X42" s="1">
        <v>2</v>
      </c>
      <c r="Y42" s="1">
        <v>0.125</v>
      </c>
    </row>
    <row r="43" spans="10:25" x14ac:dyDescent="0.25">
      <c r="J43" s="2">
        <v>20</v>
      </c>
      <c r="K43" s="2">
        <v>3</v>
      </c>
      <c r="L43" s="7">
        <v>0.188</v>
      </c>
      <c r="W43" s="4">
        <v>41</v>
      </c>
      <c r="X43" s="1">
        <v>3</v>
      </c>
      <c r="Y43" s="1">
        <v>0.188</v>
      </c>
    </row>
    <row r="44" spans="10:25" x14ac:dyDescent="0.25">
      <c r="J44" s="2">
        <v>21</v>
      </c>
      <c r="K44" s="2">
        <v>1</v>
      </c>
      <c r="L44" s="7">
        <v>6.2E-2</v>
      </c>
      <c r="W44" s="4">
        <v>42</v>
      </c>
      <c r="X44" s="1">
        <v>2</v>
      </c>
      <c r="Y44" s="1">
        <v>0.125</v>
      </c>
    </row>
    <row r="45" spans="10:25" x14ac:dyDescent="0.25">
      <c r="J45" s="2">
        <v>22</v>
      </c>
      <c r="K45" s="2">
        <v>2</v>
      </c>
      <c r="L45" s="7">
        <v>0.125</v>
      </c>
      <c r="W45" s="4">
        <v>43</v>
      </c>
      <c r="X45" s="1">
        <v>1</v>
      </c>
      <c r="Y45" s="1">
        <v>6.2E-2</v>
      </c>
    </row>
    <row r="46" spans="10:25" x14ac:dyDescent="0.25">
      <c r="J46" s="2">
        <v>23</v>
      </c>
      <c r="K46" s="2">
        <v>1</v>
      </c>
      <c r="L46" s="7">
        <v>6.2E-2</v>
      </c>
      <c r="W46" s="4">
        <v>44</v>
      </c>
      <c r="X46" s="1">
        <v>0</v>
      </c>
      <c r="Y46" s="1">
        <v>0</v>
      </c>
    </row>
    <row r="47" spans="10:25" x14ac:dyDescent="0.25">
      <c r="J47" s="2">
        <v>24</v>
      </c>
      <c r="K47" s="2">
        <v>2</v>
      </c>
      <c r="L47" s="7">
        <v>0.125</v>
      </c>
      <c r="W47" s="4">
        <v>45</v>
      </c>
      <c r="X47" s="1">
        <v>1</v>
      </c>
      <c r="Y47" s="1">
        <v>6.2E-2</v>
      </c>
    </row>
    <row r="48" spans="10:25" x14ac:dyDescent="0.25">
      <c r="J48" s="2">
        <v>25</v>
      </c>
      <c r="K48" s="2">
        <v>1</v>
      </c>
      <c r="L48" s="7">
        <v>6.2E-2</v>
      </c>
      <c r="W48" s="4">
        <v>46</v>
      </c>
      <c r="X48" s="1">
        <v>2</v>
      </c>
      <c r="Y48" s="1">
        <v>0.125</v>
      </c>
    </row>
    <row r="49" spans="10:25" x14ac:dyDescent="0.25">
      <c r="J49" s="2">
        <v>26</v>
      </c>
      <c r="K49" s="2">
        <v>0</v>
      </c>
      <c r="L49" s="7">
        <v>0</v>
      </c>
      <c r="W49" s="4">
        <v>47</v>
      </c>
      <c r="X49" s="1">
        <v>1</v>
      </c>
      <c r="Y49" s="1">
        <v>6.2E-2</v>
      </c>
    </row>
    <row r="50" spans="10:25" x14ac:dyDescent="0.25">
      <c r="J50" s="2">
        <v>27</v>
      </c>
      <c r="K50" s="2">
        <v>1</v>
      </c>
      <c r="L50" s="7">
        <v>6.2E-2</v>
      </c>
      <c r="W50" s="4">
        <v>48</v>
      </c>
      <c r="X50" s="1">
        <v>1</v>
      </c>
      <c r="Y50" s="1">
        <v>6.2E-2</v>
      </c>
    </row>
    <row r="51" spans="10:25" x14ac:dyDescent="0.25">
      <c r="J51" s="2">
        <v>28</v>
      </c>
      <c r="K51" s="2">
        <v>0</v>
      </c>
      <c r="L51" s="7">
        <v>0</v>
      </c>
      <c r="W51" s="4">
        <v>49</v>
      </c>
      <c r="X51" s="1">
        <v>1</v>
      </c>
      <c r="Y51" s="1">
        <v>6.2E-2</v>
      </c>
    </row>
    <row r="52" spans="10:25" x14ac:dyDescent="0.25">
      <c r="J52" s="2">
        <v>29</v>
      </c>
      <c r="K52" s="2">
        <v>2</v>
      </c>
      <c r="L52" s="7">
        <v>0.125</v>
      </c>
      <c r="W52" s="4">
        <v>50</v>
      </c>
      <c r="X52" s="1">
        <v>2</v>
      </c>
      <c r="Y52" s="1">
        <v>0.125</v>
      </c>
    </row>
    <row r="53" spans="10:25" x14ac:dyDescent="0.25">
      <c r="J53" s="2">
        <v>30</v>
      </c>
      <c r="K53" s="2">
        <v>1</v>
      </c>
      <c r="L53" s="7">
        <v>6.2E-2</v>
      </c>
      <c r="W53" s="4">
        <v>51</v>
      </c>
      <c r="X53" s="1">
        <v>2</v>
      </c>
      <c r="Y53" s="1">
        <v>0.125</v>
      </c>
    </row>
    <row r="54" spans="10:25" x14ac:dyDescent="0.25">
      <c r="J54" s="2">
        <v>31</v>
      </c>
      <c r="K54" s="2">
        <v>1</v>
      </c>
      <c r="L54" s="7">
        <v>6.2E-2</v>
      </c>
      <c r="W54" s="4">
        <v>52</v>
      </c>
      <c r="X54" s="1">
        <v>1</v>
      </c>
      <c r="Y54" s="1">
        <v>6.2E-2</v>
      </c>
    </row>
    <row r="55" spans="10:25" x14ac:dyDescent="0.25">
      <c r="J55" s="2">
        <v>32</v>
      </c>
      <c r="K55" s="2">
        <v>2</v>
      </c>
      <c r="L55" s="7">
        <v>0.125</v>
      </c>
      <c r="W55" s="4">
        <v>53</v>
      </c>
      <c r="X55" s="1">
        <v>2</v>
      </c>
      <c r="Y55" s="1">
        <v>0.125</v>
      </c>
    </row>
    <row r="56" spans="10:25" x14ac:dyDescent="0.25">
      <c r="J56" s="2">
        <v>33</v>
      </c>
      <c r="K56" s="2">
        <v>4</v>
      </c>
      <c r="L56" s="7">
        <v>0.25</v>
      </c>
      <c r="W56" s="4">
        <v>54</v>
      </c>
      <c r="X56" s="1">
        <v>0</v>
      </c>
      <c r="Y56" s="1">
        <v>0</v>
      </c>
    </row>
    <row r="57" spans="10:25" x14ac:dyDescent="0.25">
      <c r="J57" s="2">
        <v>34</v>
      </c>
      <c r="K57" s="2">
        <v>3</v>
      </c>
      <c r="L57" s="7">
        <v>0.188</v>
      </c>
      <c r="W57" s="4">
        <v>55</v>
      </c>
      <c r="X57" s="1">
        <v>1</v>
      </c>
      <c r="Y57" s="1">
        <v>6.2E-2</v>
      </c>
    </row>
    <row r="58" spans="10:25" x14ac:dyDescent="0.25">
      <c r="J58" s="2">
        <v>35</v>
      </c>
      <c r="K58" s="2">
        <v>2</v>
      </c>
      <c r="L58" s="7">
        <v>0.125</v>
      </c>
      <c r="W58" s="4">
        <v>56</v>
      </c>
      <c r="X58" s="1">
        <v>3</v>
      </c>
      <c r="Y58" s="1">
        <v>0.188</v>
      </c>
    </row>
    <row r="59" spans="10:25" x14ac:dyDescent="0.25">
      <c r="J59" s="2">
        <v>36</v>
      </c>
      <c r="K59" s="2">
        <v>3</v>
      </c>
      <c r="L59" s="7">
        <v>0.188</v>
      </c>
      <c r="W59" s="4">
        <v>57</v>
      </c>
      <c r="X59" s="1">
        <v>2</v>
      </c>
      <c r="Y59" s="1">
        <v>0.125</v>
      </c>
    </row>
    <row r="60" spans="10:25" x14ac:dyDescent="0.25">
      <c r="J60" s="2">
        <v>37</v>
      </c>
      <c r="K60" s="2">
        <v>2</v>
      </c>
      <c r="L60" s="7">
        <v>0.125</v>
      </c>
      <c r="W60" s="4">
        <v>58</v>
      </c>
      <c r="X60" s="1">
        <v>3</v>
      </c>
      <c r="Y60" s="1">
        <v>0.188</v>
      </c>
    </row>
    <row r="61" spans="10:25" x14ac:dyDescent="0.25">
      <c r="J61" s="2">
        <v>38</v>
      </c>
      <c r="K61" s="2">
        <v>2</v>
      </c>
      <c r="L61" s="7">
        <v>0.125</v>
      </c>
      <c r="W61" s="4">
        <v>59</v>
      </c>
      <c r="X61" s="1">
        <v>1</v>
      </c>
      <c r="Y61" s="1">
        <v>6.2E-2</v>
      </c>
    </row>
    <row r="62" spans="10:25" x14ac:dyDescent="0.25">
      <c r="J62" s="2">
        <v>39</v>
      </c>
      <c r="K62" s="2">
        <v>0</v>
      </c>
      <c r="L62" s="7">
        <v>0</v>
      </c>
      <c r="W62" s="4">
        <v>60</v>
      </c>
      <c r="X62" s="1">
        <v>0</v>
      </c>
      <c r="Y62" s="1">
        <v>0</v>
      </c>
    </row>
    <row r="63" spans="10:25" x14ac:dyDescent="0.25">
      <c r="J63" s="2">
        <v>40</v>
      </c>
      <c r="K63" s="2">
        <v>2</v>
      </c>
      <c r="L63" s="7">
        <v>0.125</v>
      </c>
    </row>
    <row r="64" spans="10:25" x14ac:dyDescent="0.25">
      <c r="J64" s="2">
        <v>41</v>
      </c>
      <c r="K64" s="2">
        <v>3</v>
      </c>
      <c r="L64" s="7">
        <v>0.188</v>
      </c>
    </row>
    <row r="65" spans="10:12" x14ac:dyDescent="0.25">
      <c r="J65" s="2">
        <v>42</v>
      </c>
      <c r="K65" s="2">
        <v>2</v>
      </c>
      <c r="L65" s="7">
        <v>0.125</v>
      </c>
    </row>
    <row r="66" spans="10:12" x14ac:dyDescent="0.25">
      <c r="J66" s="2">
        <v>43</v>
      </c>
      <c r="K66" s="2">
        <v>1</v>
      </c>
      <c r="L66" s="7">
        <v>6.2E-2</v>
      </c>
    </row>
    <row r="67" spans="10:12" x14ac:dyDescent="0.25">
      <c r="J67" s="2">
        <v>44</v>
      </c>
      <c r="K67" s="2">
        <v>0</v>
      </c>
      <c r="L67" s="7">
        <v>0</v>
      </c>
    </row>
    <row r="68" spans="10:12" x14ac:dyDescent="0.25">
      <c r="J68" s="2">
        <v>45</v>
      </c>
      <c r="K68" s="2">
        <v>1</v>
      </c>
      <c r="L68" s="7">
        <v>6.2E-2</v>
      </c>
    </row>
    <row r="69" spans="10:12" x14ac:dyDescent="0.25">
      <c r="J69" s="2">
        <v>46</v>
      </c>
      <c r="K69" s="2">
        <v>2</v>
      </c>
      <c r="L69" s="7">
        <v>0.125</v>
      </c>
    </row>
    <row r="70" spans="10:12" x14ac:dyDescent="0.25">
      <c r="J70" s="2">
        <v>47</v>
      </c>
      <c r="K70" s="2">
        <v>1</v>
      </c>
      <c r="L70" s="7">
        <v>6.2E-2</v>
      </c>
    </row>
    <row r="71" spans="10:12" x14ac:dyDescent="0.25">
      <c r="J71" s="2">
        <v>48</v>
      </c>
      <c r="K71" s="2">
        <v>1</v>
      </c>
      <c r="L71" s="7">
        <v>6.2E-2</v>
      </c>
    </row>
    <row r="72" spans="10:12" x14ac:dyDescent="0.25">
      <c r="J72" s="2">
        <v>49</v>
      </c>
      <c r="K72" s="2">
        <v>1</v>
      </c>
      <c r="L72" s="7">
        <v>6.2E-2</v>
      </c>
    </row>
    <row r="73" spans="10:12" x14ac:dyDescent="0.25">
      <c r="J73" s="2">
        <v>50</v>
      </c>
      <c r="K73" s="2">
        <v>2</v>
      </c>
      <c r="L73" s="7">
        <v>0.125</v>
      </c>
    </row>
    <row r="74" spans="10:12" x14ac:dyDescent="0.25">
      <c r="J74" s="2">
        <v>51</v>
      </c>
      <c r="K74" s="2">
        <v>2</v>
      </c>
      <c r="L74" s="7">
        <v>0.125</v>
      </c>
    </row>
    <row r="75" spans="10:12" x14ac:dyDescent="0.25">
      <c r="J75" s="2">
        <v>52</v>
      </c>
      <c r="K75" s="2">
        <v>1</v>
      </c>
      <c r="L75" s="7">
        <v>6.2E-2</v>
      </c>
    </row>
    <row r="76" spans="10:12" x14ac:dyDescent="0.25">
      <c r="J76" s="2">
        <v>53</v>
      </c>
      <c r="K76" s="2">
        <v>2</v>
      </c>
      <c r="L76" s="7">
        <v>0.125</v>
      </c>
    </row>
    <row r="77" spans="10:12" x14ac:dyDescent="0.25">
      <c r="J77" s="2">
        <v>54</v>
      </c>
      <c r="K77" s="2">
        <v>0</v>
      </c>
      <c r="L77" s="7">
        <v>0</v>
      </c>
    </row>
    <row r="78" spans="10:12" x14ac:dyDescent="0.25">
      <c r="J78" s="2">
        <v>55</v>
      </c>
      <c r="K78" s="2">
        <v>1</v>
      </c>
      <c r="L78" s="7">
        <v>6.2E-2</v>
      </c>
    </row>
    <row r="79" spans="10:12" x14ac:dyDescent="0.25">
      <c r="J79" s="2">
        <v>56</v>
      </c>
      <c r="K79" s="2">
        <v>3</v>
      </c>
      <c r="L79" s="7">
        <v>0.188</v>
      </c>
    </row>
    <row r="80" spans="10:12" x14ac:dyDescent="0.25">
      <c r="J80" s="2">
        <v>57</v>
      </c>
      <c r="K80" s="2">
        <v>2</v>
      </c>
      <c r="L80" s="7">
        <v>0.125</v>
      </c>
    </row>
    <row r="81" spans="10:12" x14ac:dyDescent="0.25">
      <c r="J81" s="2">
        <v>58</v>
      </c>
      <c r="K81" s="2">
        <v>3</v>
      </c>
      <c r="L81" s="7">
        <v>0.188</v>
      </c>
    </row>
    <row r="82" spans="10:12" x14ac:dyDescent="0.25">
      <c r="J82" s="2">
        <v>59</v>
      </c>
      <c r="K82" s="2">
        <v>1</v>
      </c>
      <c r="L82" s="7">
        <v>6.2E-2</v>
      </c>
    </row>
    <row r="83" spans="10:12" x14ac:dyDescent="0.25">
      <c r="J83" s="2">
        <v>60</v>
      </c>
      <c r="K83" s="2">
        <v>0</v>
      </c>
      <c r="L83" s="7">
        <v>0</v>
      </c>
    </row>
  </sheetData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Alexandre</dc:creator>
  <cp:lastModifiedBy>Mikael Alexandre</cp:lastModifiedBy>
  <dcterms:created xsi:type="dcterms:W3CDTF">2025-10-19T02:27:19Z</dcterms:created>
  <dcterms:modified xsi:type="dcterms:W3CDTF">2025-12-26T01:37:52Z</dcterms:modified>
</cp:coreProperties>
</file>